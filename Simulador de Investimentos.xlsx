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chin\Downloads\Conteúdos do Santander - Excel Avançado\"/>
    </mc:Choice>
  </mc:AlternateContent>
  <xr:revisionPtr revIDLastSave="0" documentId="8_{0D157CDD-D1D6-44D4-A99F-E32D17203129}" xr6:coauthVersionLast="47" xr6:coauthVersionMax="47" xr10:uidLastSave="{00000000-0000-0000-0000-000000000000}"/>
  <bookViews>
    <workbookView xWindow="9060" yWindow="825" windowWidth="18510" windowHeight="14940" tabRatio="318" xr2:uid="{27C0344B-DB37-4F42-A22F-8D82696823BC}"/>
  </bookViews>
  <sheets>
    <sheet name="APP" sheetId="1" r:id="rId1"/>
    <sheet name="Planilha2" sheetId="2" r:id="rId2"/>
  </sheets>
  <definedNames>
    <definedName name="aporte">APP!$D$16</definedName>
    <definedName name="patrimonio">APP!$D$19</definedName>
    <definedName name="qnt_anos">APP!$D$17</definedName>
    <definedName name="rendimento_carteira">APP!$D$12</definedName>
    <definedName name="salario">APP!$D$11</definedName>
    <definedName name="sug_investimento">APP!$D$13</definedName>
    <definedName name="taxa_mensal">APP!$D$18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 s="1"/>
  <c r="H2" i="2"/>
  <c r="C35" i="1"/>
  <c r="C36" i="1"/>
  <c r="C37" i="1"/>
  <c r="C38" i="1"/>
  <c r="C39" i="1"/>
  <c r="C34" i="1"/>
  <c r="A10" i="2"/>
  <c r="A11" i="2"/>
  <c r="A12" i="2"/>
  <c r="A13" i="2"/>
  <c r="A14" i="2"/>
  <c r="A15" i="2"/>
  <c r="A17" i="2"/>
  <c r="A18" i="2"/>
  <c r="A19" i="2"/>
  <c r="A20" i="2"/>
  <c r="A21" i="2"/>
  <c r="A22" i="2"/>
  <c r="A4" i="2"/>
  <c r="A5" i="2"/>
  <c r="A6" i="2"/>
  <c r="A7" i="2"/>
  <c r="A8" i="2"/>
  <c r="A3" i="2"/>
  <c r="C31" i="1"/>
  <c r="D13" i="1"/>
  <c r="D19" i="1"/>
  <c r="D20" i="1" s="1"/>
  <c r="C24" i="1"/>
  <c r="D24" i="1" s="1"/>
  <c r="C26" i="1"/>
  <c r="D26" i="1" s="1"/>
  <c r="C27" i="1"/>
  <c r="D27" i="1" s="1"/>
  <c r="C23" i="1"/>
  <c r="D23" i="1" s="1"/>
  <c r="D35" i="1" l="1"/>
  <c r="D37" i="1"/>
  <c r="D39" i="1"/>
  <c r="D36" i="1"/>
  <c r="D34" i="1"/>
  <c r="D38" i="1"/>
  <c r="D40" i="1" l="1"/>
</calcChain>
</file>

<file path=xl/sharedStrings.xml><?xml version="1.0" encoding="utf-8"?>
<sst xmlns="http://schemas.openxmlformats.org/spreadsheetml/2006/main" count="70" uniqueCount="35">
  <si>
    <t>INVESTIMENTOS MENSAIS</t>
  </si>
  <si>
    <t>Taxa de Rendimentos?</t>
  </si>
  <si>
    <t>Dividendos Mensais?</t>
  </si>
  <si>
    <t>Por Quantos Anos?</t>
  </si>
  <si>
    <t>Quanto Investir por Mês?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</si>
  <si>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</si>
  <si>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</si>
  <si>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</si>
  <si>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</si>
  <si>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</si>
  <si>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</si>
  <si>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</si>
  <si>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</si>
  <si>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</si>
  <si>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Carteira</t>
  </si>
  <si>
    <t>Salário</t>
  </si>
  <si>
    <t>Sugestão de Investimento</t>
  </si>
  <si>
    <t>Perfil</t>
  </si>
  <si>
    <t>VALOR A SER INVESTIDO POR MÊS</t>
  </si>
  <si>
    <t>Moderado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</si>
  <si>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</si>
  <si>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</si>
  <si>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</si>
  <si>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</si>
  <si>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</si>
  <si>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</si>
  <si>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</si>
  <si>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</si>
  <si>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</si>
  <si>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Agressivo</t>
  </si>
  <si>
    <t>Conservador</t>
  </si>
  <si>
    <t>PERFIL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</si>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</sst>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Bahnschrift SemiBold SemiConden"/>
      <family val="2"/>
    </font>
    <font>
      <sz val="12"/>
      <color theme="1"/>
      <name val="Nirmala Text Semilight"/>
      <family val="2"/>
    </font>
    <font>
      <sz val="11"/>
      <color theme="1"/>
      <name val="Nirmala Text Semilight"/>
      <family val="2"/>
    </font>
    <font>
      <b/>
      <sz val="11"/>
      <color theme="1"/>
      <name val="Nirmala Text Semilight"/>
      <family val="2"/>
    </font>
    <font>
      <b/>
      <sz val="12"/>
      <color theme="1"/>
      <name val="Nirmala Text Semilight"/>
      <family val="2"/>
    </font>
    <font>
      <b/>
      <sz val="11"/>
      <color theme="9"/>
      <name val="Nirmala Text Semi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/>
    <xf numFmtId="0" fontId="2" fillId="4" borderId="4" xfId="0" applyFont="1" applyFill="1" applyBorder="1" applyAlignment="1">
      <alignment horizontal="left" vertical="center"/>
    </xf>
    <xf numFmtId="9" fontId="0" fillId="0" borderId="0" xfId="0" applyNumberFormat="1"/>
    <xf numFmtId="0" fontId="2" fillId="3" borderId="0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indent="3"/>
    </xf>
    <xf numFmtId="8" fontId="5" fillId="2" borderId="6" xfId="0" applyNumberFormat="1" applyFont="1" applyFill="1" applyBorder="1" applyAlignment="1">
      <alignment horizontal="center" vertical="center"/>
    </xf>
    <xf numFmtId="8" fontId="6" fillId="2" borderId="20" xfId="0" applyNumberFormat="1" applyFont="1" applyFill="1" applyBorder="1" applyAlignment="1">
      <alignment horizontal="left"/>
    </xf>
    <xf numFmtId="0" fontId="4" fillId="2" borderId="9" xfId="0" applyFont="1" applyFill="1" applyBorder="1" applyAlignment="1">
      <alignment horizontal="left" indent="3"/>
    </xf>
    <xf numFmtId="8" fontId="5" fillId="2" borderId="8" xfId="0" applyNumberFormat="1" applyFont="1" applyFill="1" applyBorder="1" applyAlignment="1">
      <alignment horizontal="center" vertical="center"/>
    </xf>
    <xf numFmtId="8" fontId="6" fillId="2" borderId="10" xfId="0" applyNumberFormat="1" applyFont="1" applyFill="1" applyBorder="1" applyAlignment="1">
      <alignment horizontal="left"/>
    </xf>
    <xf numFmtId="0" fontId="4" fillId="2" borderId="11" xfId="0" applyFont="1" applyFill="1" applyBorder="1" applyAlignment="1">
      <alignment horizontal="left" indent="3"/>
    </xf>
    <xf numFmtId="8" fontId="5" fillId="2" borderId="12" xfId="0" applyNumberFormat="1" applyFont="1" applyFill="1" applyBorder="1" applyAlignment="1">
      <alignment horizontal="center" vertical="center"/>
    </xf>
    <xf numFmtId="8" fontId="6" fillId="2" borderId="13" xfId="0" applyNumberFormat="1" applyFont="1" applyFill="1" applyBorder="1" applyAlignment="1">
      <alignment horizontal="left"/>
    </xf>
    <xf numFmtId="0" fontId="4" fillId="0" borderId="14" xfId="0" applyFont="1" applyBorder="1" applyAlignment="1">
      <alignment horizontal="left" indent="3"/>
    </xf>
    <xf numFmtId="0" fontId="4" fillId="0" borderId="17" xfId="0" applyFont="1" applyBorder="1" applyAlignment="1">
      <alignment horizontal="left" indent="3"/>
    </xf>
    <xf numFmtId="0" fontId="4" fillId="0" borderId="15" xfId="0" applyFont="1" applyBorder="1" applyAlignment="1">
      <alignment horizontal="left" indent="3"/>
    </xf>
    <xf numFmtId="0" fontId="4" fillId="0" borderId="18" xfId="0" applyFont="1" applyBorder="1" applyAlignment="1">
      <alignment horizontal="left" indent="3"/>
    </xf>
    <xf numFmtId="0" fontId="7" fillId="2" borderId="15" xfId="0" applyFont="1" applyFill="1" applyBorder="1" applyAlignment="1">
      <alignment horizontal="left" indent="3"/>
    </xf>
    <xf numFmtId="0" fontId="7" fillId="2" borderId="18" xfId="0" applyFont="1" applyFill="1" applyBorder="1" applyAlignment="1">
      <alignment horizontal="left" indent="3"/>
    </xf>
    <xf numFmtId="0" fontId="7" fillId="2" borderId="16" xfId="0" applyFont="1" applyFill="1" applyBorder="1" applyAlignment="1">
      <alignment horizontal="left" indent="3"/>
    </xf>
    <xf numFmtId="0" fontId="7" fillId="2" borderId="19" xfId="0" applyFont="1" applyFill="1" applyBorder="1" applyAlignment="1">
      <alignment horizontal="left" indent="3"/>
    </xf>
    <xf numFmtId="0" fontId="4" fillId="2" borderId="14" xfId="0" applyFont="1" applyFill="1" applyBorder="1" applyAlignment="1">
      <alignment horizontal="left" indent="3"/>
    </xf>
    <xf numFmtId="0" fontId="4" fillId="2" borderId="5" xfId="0" applyFont="1" applyFill="1" applyBorder="1" applyAlignment="1">
      <alignment horizontal="left" indent="3"/>
    </xf>
    <xf numFmtId="0" fontId="4" fillId="2" borderId="15" xfId="0" applyFont="1" applyFill="1" applyBorder="1" applyAlignment="1">
      <alignment horizontal="left" indent="3"/>
    </xf>
    <xf numFmtId="0" fontId="4" fillId="2" borderId="7" xfId="0" applyFont="1" applyFill="1" applyBorder="1" applyAlignment="1">
      <alignment horizontal="left" indent="3"/>
    </xf>
    <xf numFmtId="0" fontId="4" fillId="2" borderId="16" xfId="0" applyFont="1" applyFill="1" applyBorder="1" applyAlignment="1">
      <alignment horizontal="left" indent="3"/>
    </xf>
    <xf numFmtId="0" fontId="4" fillId="2" borderId="22" xfId="0" applyFont="1" applyFill="1" applyBorder="1" applyAlignment="1">
      <alignment horizontal="left" indent="3"/>
    </xf>
    <xf numFmtId="166" fontId="6" fillId="0" borderId="20" xfId="0" applyNumberFormat="1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10" fontId="6" fillId="0" borderId="10" xfId="0" applyNumberFormat="1" applyFont="1" applyBorder="1" applyAlignment="1">
      <alignment horizontal="left"/>
    </xf>
    <xf numFmtId="166" fontId="8" fillId="2" borderId="13" xfId="0" applyNumberFormat="1" applyFont="1" applyFill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166" fontId="6" fillId="2" borderId="13" xfId="0" applyNumberFormat="1" applyFont="1" applyFill="1" applyBorder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center"/>
    </xf>
    <xf numFmtId="0" fontId="4" fillId="6" borderId="0" xfId="0" applyFont="1" applyFill="1" applyBorder="1" applyAlignment="1"/>
    <xf numFmtId="0" fontId="1" fillId="7" borderId="0" xfId="0" applyFont="1" applyFill="1"/>
    <xf numFmtId="166" fontId="1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/>
    <xf numFmtId="166" fontId="1" fillId="8" borderId="0" xfId="0" applyNumberFormat="1" applyFont="1" applyFill="1" applyAlignment="1">
      <alignment horizontal="left"/>
    </xf>
    <xf numFmtId="0" fontId="1" fillId="8" borderId="0" xfId="0" applyFont="1" applyFill="1" applyAlignment="1">
      <alignment horizontal="center"/>
    </xf>
    <xf numFmtId="0" fontId="1" fillId="8" borderId="0" xfId="0" applyFont="1" applyFill="1"/>
    <xf numFmtId="166" fontId="0" fillId="2" borderId="0" xfId="0" applyNumberFormat="1" applyFill="1" applyAlignment="1">
      <alignment horizontal="left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10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7-4302-AA16-A6331891A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104775</xdr:rowOff>
    </xdr:from>
    <xdr:to>
      <xdr:col>4</xdr:col>
      <xdr:colOff>204107</xdr:colOff>
      <xdr:row>8</xdr:row>
      <xdr:rowOff>136980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21158C-640C-46A3-9521-127C1EAD02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95250" y="104775"/>
          <a:ext cx="7565571" cy="1556205"/>
        </a:xfrm>
        <a:prstGeom prst="rect">
          <a:avLst/>
        </a:prstGeom>
      </xdr:spPr>
    </xdr:pic>
    <xdr:clientData/>
  </xdr:twoCellAnchor>
  <xdr:twoCellAnchor>
    <xdr:from>
      <xdr:col>0</xdr:col>
      <xdr:colOff>314323</xdr:colOff>
      <xdr:row>41</xdr:row>
      <xdr:rowOff>9525</xdr:rowOff>
    </xdr:from>
    <xdr:to>
      <xdr:col>4</xdr:col>
      <xdr:colOff>68036</xdr:colOff>
      <xdr:row>55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6112FD-040B-9C08-7875-C2B9EA83A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F186-2DCA-4AA4-9915-A99459F96A3E}">
  <dimension ref="A9:F64"/>
  <sheetViews>
    <sheetView showGridLines="0" tabSelected="1" topLeftCell="A25" zoomScale="70" zoomScaleNormal="70" workbookViewId="0">
      <selection activeCell="B71" sqref="B71"/>
    </sheetView>
  </sheetViews>
  <sheetFormatPr defaultColWidth="0" defaultRowHeight="15" x14ac:dyDescent="0.25"/>
  <cols>
    <col min="1" max="1" width="4.85546875" customWidth="1"/>
    <col min="2" max="2" width="38" customWidth="1"/>
    <col min="3" max="3" width="48.5703125" customWidth="1"/>
    <col min="4" max="4" width="20.42578125" customWidth="1"/>
    <col min="5" max="5" width="3.42578125" customWidth="1"/>
    <col min="6" max="6" width="3.140625" customWidth="1"/>
    <col min="7" max="7" width="2.28515625" customWidth="1"/>
    <col min="8" max="11" width="9.140625" hidden="1" customWidth="1"/>
    <col min="12" max="16384" width="9.140625" hidden="1"/>
  </cols>
  <sheetData>
    <row r="9" spans="2:4" ht="15.75" thickBot="1" x14ac:dyDescent="0.3"/>
    <row r="10" spans="2:4" ht="19.5" x14ac:dyDescent="0.25">
      <c r="B10" s="11" t="s">
        <v>13</v>
      </c>
      <c r="C10" s="12"/>
      <c r="D10" s="13"/>
    </row>
    <row r="11" spans="2:4" ht="15" customHeight="1" x14ac:dyDescent="0.3">
      <c r="B11" s="31" t="s">
        <v>15</v>
      </c>
      <c r="C11" s="32"/>
      <c r="D11" s="41">
        <v>2000</v>
      </c>
    </row>
    <row r="12" spans="2:4" ht="15" customHeight="1" x14ac:dyDescent="0.3">
      <c r="B12" s="33" t="s">
        <v>14</v>
      </c>
      <c r="C12" s="34"/>
      <c r="D12" s="39">
        <v>6.0000000000000001E-3</v>
      </c>
    </row>
    <row r="13" spans="2:4" ht="15" customHeight="1" thickBot="1" x14ac:dyDescent="0.35">
      <c r="B13" s="35" t="s">
        <v>16</v>
      </c>
      <c r="C13" s="36"/>
      <c r="D13" s="42">
        <f>salario*30%</f>
        <v>600</v>
      </c>
    </row>
    <row r="14" spans="2:4" ht="15" customHeight="1" thickBot="1" x14ac:dyDescent="0.3">
      <c r="B14" s="7"/>
    </row>
    <row r="15" spans="2:4" ht="27" customHeight="1" x14ac:dyDescent="0.25">
      <c r="B15" s="8" t="s">
        <v>0</v>
      </c>
      <c r="C15" s="9"/>
      <c r="D15" s="10"/>
    </row>
    <row r="16" spans="2:4" ht="17.25" x14ac:dyDescent="0.3">
      <c r="B16" s="23" t="s">
        <v>4</v>
      </c>
      <c r="C16" s="24"/>
      <c r="D16" s="37">
        <v>200</v>
      </c>
    </row>
    <row r="17" spans="1:6" ht="17.25" x14ac:dyDescent="0.3">
      <c r="B17" s="25" t="s">
        <v>3</v>
      </c>
      <c r="C17" s="26"/>
      <c r="D17" s="38">
        <v>5</v>
      </c>
    </row>
    <row r="18" spans="1:6" ht="17.25" x14ac:dyDescent="0.3">
      <c r="B18" s="25" t="s">
        <v>1</v>
      </c>
      <c r="C18" s="26"/>
      <c r="D18" s="39">
        <v>1.0789999999999999E-2</v>
      </c>
    </row>
    <row r="19" spans="1:6" ht="17.25" x14ac:dyDescent="0.3">
      <c r="B19" s="27" t="s">
        <v>5</v>
      </c>
      <c r="C19" s="28"/>
      <c r="D19" s="19">
        <f>FV(taxa_mensal,qnt_anos*12,aporte*-1)</f>
        <v>16755.382799697527</v>
      </c>
    </row>
    <row r="20" spans="1:6" ht="18" thickBot="1" x14ac:dyDescent="0.35">
      <c r="B20" s="29" t="s">
        <v>2</v>
      </c>
      <c r="C20" s="30"/>
      <c r="D20" s="40">
        <f>patrimonio*rendimento_carteira</f>
        <v>100.53229679818516</v>
      </c>
      <c r="F20" s="6"/>
    </row>
    <row r="21" spans="1:6" ht="15.75" thickBot="1" x14ac:dyDescent="0.3"/>
    <row r="22" spans="1:6" ht="19.5" x14ac:dyDescent="0.25">
      <c r="B22" s="8" t="s">
        <v>11</v>
      </c>
      <c r="C22" s="9"/>
      <c r="D22" s="5" t="s">
        <v>12</v>
      </c>
    </row>
    <row r="23" spans="1:6" ht="17.25" x14ac:dyDescent="0.3">
      <c r="A23" s="4">
        <v>2</v>
      </c>
      <c r="B23" s="14" t="s">
        <v>6</v>
      </c>
      <c r="C23" s="15">
        <f>FV($D$18,$A23*12,$D$16*-1)</f>
        <v>5445.5254595290435</v>
      </c>
      <c r="D23" s="16">
        <f>C23*rendimento_carteira</f>
        <v>32.673152757174265</v>
      </c>
    </row>
    <row r="24" spans="1:6" ht="17.25" x14ac:dyDescent="0.3">
      <c r="A24" s="4">
        <v>5</v>
      </c>
      <c r="B24" s="17" t="s">
        <v>7</v>
      </c>
      <c r="C24" s="18">
        <f>FV($D$18,$A24*12,$D$16*-1)</f>
        <v>16755.382799697527</v>
      </c>
      <c r="D24" s="19">
        <f>C24*rendimento_carteira</f>
        <v>100.53229679818516</v>
      </c>
    </row>
    <row r="25" spans="1:6" ht="17.25" x14ac:dyDescent="0.3">
      <c r="A25" s="4">
        <v>10</v>
      </c>
      <c r="B25" s="17" t="s">
        <v>8</v>
      </c>
      <c r="C25" s="18">
        <f>FV($D$18,$A25*12,$D$16*-1)</f>
        <v>48656.842506034438</v>
      </c>
      <c r="D25" s="19">
        <f>C25*rendimento_carteira</f>
        <v>291.94105503620665</v>
      </c>
    </row>
    <row r="26" spans="1:6" ht="17.25" x14ac:dyDescent="0.3">
      <c r="A26" s="4">
        <v>20</v>
      </c>
      <c r="B26" s="17" t="s">
        <v>9</v>
      </c>
      <c r="C26" s="18">
        <f>FV($D$18,$A26*12,$D$16*-1)</f>
        <v>225039.68001941612</v>
      </c>
      <c r="D26" s="19">
        <f>C26*rendimento_carteira</f>
        <v>1350.2380801164968</v>
      </c>
    </row>
    <row r="27" spans="1:6" ht="18" thickBot="1" x14ac:dyDescent="0.35">
      <c r="A27" s="4">
        <v>30</v>
      </c>
      <c r="B27" s="20" t="s">
        <v>10</v>
      </c>
      <c r="C27" s="21">
        <f>FV($D$18,$A27*12,$D$16*-1)</f>
        <v>864433.93100094295</v>
      </c>
      <c r="D27" s="22">
        <f>C27*rendimento_carteira</f>
        <v>5186.6035860056581</v>
      </c>
    </row>
    <row r="30" spans="1:6" ht="17.25" x14ac:dyDescent="0.3">
      <c r="B30" s="45" t="s">
        <v>17</v>
      </c>
      <c r="C30" s="44" t="s">
        <v>19</v>
      </c>
      <c r="D30" s="44"/>
    </row>
    <row r="31" spans="1:6" x14ac:dyDescent="0.25">
      <c r="B31" s="46" t="s">
        <v>18</v>
      </c>
      <c r="C31" s="47">
        <f>aporte</f>
        <v>200</v>
      </c>
      <c r="D31" s="47"/>
    </row>
    <row r="33" spans="2:4" x14ac:dyDescent="0.25">
      <c r="B33" s="51" t="s">
        <v>20</v>
      </c>
      <c r="C33" s="51" t="s">
        <v>21</v>
      </c>
      <c r="D33" s="52" t="s">
        <v>22</v>
      </c>
    </row>
    <row r="34" spans="2:4" x14ac:dyDescent="0.25">
      <c r="B34" s="1" t="s">
        <v>23</v>
      </c>
      <c r="C34" s="48">
        <f>VLOOKUP($C$30&amp;"-"&amp;B34,Planilha2!$A:$D,4,FALSE)</f>
        <v>0.32</v>
      </c>
      <c r="D34" s="53">
        <f>C34*$C$31</f>
        <v>64</v>
      </c>
    </row>
    <row r="35" spans="2:4" x14ac:dyDescent="0.25">
      <c r="B35" s="1" t="s">
        <v>24</v>
      </c>
      <c r="C35" s="48">
        <f>VLOOKUP($C$30&amp;"-"&amp;B35,Planilha2!$A:$D,4,FALSE)</f>
        <v>0.35</v>
      </c>
      <c r="D35" s="53">
        <f t="shared" ref="D35:D39" si="0">C35*$C$31</f>
        <v>70</v>
      </c>
    </row>
    <row r="36" spans="2:4" x14ac:dyDescent="0.25">
      <c r="B36" s="1" t="s">
        <v>25</v>
      </c>
      <c r="C36" s="48">
        <f>VLOOKUP($C$30&amp;"-"&amp;B36,Planilha2!$A:$D,4,FALSE)</f>
        <v>0.08</v>
      </c>
      <c r="D36" s="53">
        <f t="shared" si="0"/>
        <v>16</v>
      </c>
    </row>
    <row r="37" spans="2:4" x14ac:dyDescent="0.25">
      <c r="B37" s="1" t="s">
        <v>26</v>
      </c>
      <c r="C37" s="48">
        <f>VLOOKUP($C$30&amp;"-"&amp;B37,Planilha2!$A:$D,4,FALSE)</f>
        <v>0.05</v>
      </c>
      <c r="D37" s="53">
        <f t="shared" si="0"/>
        <v>10</v>
      </c>
    </row>
    <row r="38" spans="2:4" x14ac:dyDescent="0.25">
      <c r="B38" s="1" t="s">
        <v>27</v>
      </c>
      <c r="C38" s="48">
        <f>VLOOKUP($C$30&amp;"-"&amp;B38,Planilha2!$A:$D,4,FALSE)</f>
        <v>0.1</v>
      </c>
      <c r="D38" s="53">
        <f t="shared" si="0"/>
        <v>20</v>
      </c>
    </row>
    <row r="39" spans="2:4" x14ac:dyDescent="0.25">
      <c r="B39" s="1" t="s">
        <v>28</v>
      </c>
      <c r="C39" s="48">
        <f>VLOOKUP($C$30&amp;"-"&amp;B39,Planilha2!$A:$D,4,FALSE)</f>
        <v>0.1</v>
      </c>
      <c r="D39" s="53">
        <f t="shared" si="0"/>
        <v>20</v>
      </c>
    </row>
    <row r="40" spans="2:4" x14ac:dyDescent="0.25">
      <c r="B40" s="49"/>
      <c r="C40" s="49"/>
      <c r="D40" s="50">
        <f>SUM(D34:D39)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</sheetData>
  <mergeCells count="13">
    <mergeCell ref="C30:D30"/>
    <mergeCell ref="C31:D31"/>
    <mergeCell ref="B15:D15"/>
    <mergeCell ref="B17:C17"/>
    <mergeCell ref="B18:C18"/>
    <mergeCell ref="B19:C19"/>
    <mergeCell ref="B20:C20"/>
    <mergeCell ref="B10:D10"/>
    <mergeCell ref="B11:C11"/>
    <mergeCell ref="B12:C12"/>
    <mergeCell ref="B13:C13"/>
    <mergeCell ref="B16:C16"/>
    <mergeCell ref="B22:C22"/>
  </mergeCells>
  <dataValidations count="1">
    <dataValidation type="list" allowBlank="1" showInputMessage="1" showErrorMessage="1" sqref="C30" xr:uid="{69A1D082-CF49-442F-9ED4-90A5551A77F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9AAD-E459-48E5-93D4-6FE8FE897126}">
  <dimension ref="A2:H22"/>
  <sheetViews>
    <sheetView workbookViewId="0">
      <selection activeCell="H2" sqref="H2"/>
    </sheetView>
  </sheetViews>
  <sheetFormatPr defaultRowHeight="15" x14ac:dyDescent="0.25"/>
  <cols>
    <col min="1" max="1" width="32.42578125" customWidth="1"/>
    <col min="2" max="2" width="14.140625" customWidth="1"/>
    <col min="3" max="3" width="23.42578125" customWidth="1"/>
    <col min="7" max="7" width="26.28515625" customWidth="1"/>
    <col min="8" max="8" width="12.85546875" customWidth="1"/>
  </cols>
  <sheetData>
    <row r="2" spans="1:8" x14ac:dyDescent="0.25">
      <c r="A2" t="s">
        <v>33</v>
      </c>
      <c r="B2" t="s">
        <v>31</v>
      </c>
      <c r="C2" s="1" t="s">
        <v>20</v>
      </c>
      <c r="D2" s="1" t="s">
        <v>32</v>
      </c>
      <c r="G2" s="43" t="s">
        <v>34</v>
      </c>
      <c r="H2" s="58">
        <f>VLOOKUP(G2,$A:$D,4,FALSE)</f>
        <v>0.35</v>
      </c>
    </row>
    <row r="3" spans="1:8" x14ac:dyDescent="0.25">
      <c r="A3" t="str">
        <f>B3&amp;"-"&amp;C3</f>
        <v>Conservador-PAPEL</v>
      </c>
      <c r="B3" t="s">
        <v>30</v>
      </c>
      <c r="C3" s="1" t="s">
        <v>23</v>
      </c>
      <c r="D3" s="48">
        <v>0.3</v>
      </c>
    </row>
    <row r="4" spans="1:8" x14ac:dyDescent="0.25">
      <c r="A4" t="str">
        <f t="shared" ref="A4:A22" si="0">B4&amp;"-"&amp;C4</f>
        <v>Conservador-TIJOLO</v>
      </c>
      <c r="B4" t="s">
        <v>30</v>
      </c>
      <c r="C4" s="1" t="s">
        <v>24</v>
      </c>
      <c r="D4" s="48">
        <v>0.5</v>
      </c>
    </row>
    <row r="5" spans="1:8" x14ac:dyDescent="0.25">
      <c r="A5" t="str">
        <f t="shared" si="0"/>
        <v>Conservador-HÍBRIDOS</v>
      </c>
      <c r="B5" t="s">
        <v>30</v>
      </c>
      <c r="C5" s="1" t="s">
        <v>25</v>
      </c>
      <c r="D5" s="48">
        <v>0.1</v>
      </c>
    </row>
    <row r="6" spans="1:8" x14ac:dyDescent="0.25">
      <c r="A6" t="str">
        <f t="shared" si="0"/>
        <v>Conservador-FOFs</v>
      </c>
      <c r="B6" t="s">
        <v>30</v>
      </c>
      <c r="C6" s="1" t="s">
        <v>26</v>
      </c>
      <c r="D6" s="48">
        <v>0.1</v>
      </c>
    </row>
    <row r="7" spans="1:8" x14ac:dyDescent="0.25">
      <c r="A7" t="str">
        <f t="shared" si="0"/>
        <v>Conservador-DESENVOLVIMENTO</v>
      </c>
      <c r="B7" t="s">
        <v>30</v>
      </c>
      <c r="C7" s="1" t="s">
        <v>27</v>
      </c>
      <c r="D7" s="48">
        <v>0</v>
      </c>
    </row>
    <row r="8" spans="1:8" x14ac:dyDescent="0.25">
      <c r="A8" s="3" t="str">
        <f t="shared" si="0"/>
        <v>Conservador-HOTELARIAS</v>
      </c>
      <c r="B8" s="3" t="s">
        <v>30</v>
      </c>
      <c r="C8" s="54" t="s">
        <v>28</v>
      </c>
      <c r="D8" s="55">
        <v>0</v>
      </c>
    </row>
    <row r="9" spans="1:8" x14ac:dyDescent="0.25">
      <c r="A9" s="2"/>
      <c r="B9" s="2"/>
      <c r="C9" s="56"/>
      <c r="D9" s="57"/>
    </row>
    <row r="10" spans="1:8" x14ac:dyDescent="0.25">
      <c r="A10" t="str">
        <f t="shared" si="0"/>
        <v>Moderado-PAPEL</v>
      </c>
      <c r="B10" t="s">
        <v>19</v>
      </c>
      <c r="C10" s="1" t="s">
        <v>23</v>
      </c>
      <c r="D10" s="48">
        <v>0.32</v>
      </c>
    </row>
    <row r="11" spans="1:8" x14ac:dyDescent="0.25">
      <c r="A11" t="str">
        <f t="shared" si="0"/>
        <v>Moderado-TIJOLO</v>
      </c>
      <c r="B11" t="s">
        <v>19</v>
      </c>
      <c r="C11" s="1" t="s">
        <v>24</v>
      </c>
      <c r="D11" s="48">
        <v>0.35</v>
      </c>
    </row>
    <row r="12" spans="1:8" x14ac:dyDescent="0.25">
      <c r="A12" t="str">
        <f t="shared" si="0"/>
        <v>Moderado-HÍBRIDOS</v>
      </c>
      <c r="B12" t="s">
        <v>19</v>
      </c>
      <c r="C12" s="1" t="s">
        <v>25</v>
      </c>
      <c r="D12" s="48">
        <v>0.08</v>
      </c>
    </row>
    <row r="13" spans="1:8" x14ac:dyDescent="0.25">
      <c r="A13" t="str">
        <f t="shared" si="0"/>
        <v>Moderado-FOFs</v>
      </c>
      <c r="B13" t="s">
        <v>19</v>
      </c>
      <c r="C13" s="1" t="s">
        <v>26</v>
      </c>
      <c r="D13" s="48">
        <v>0.05</v>
      </c>
    </row>
    <row r="14" spans="1:8" x14ac:dyDescent="0.25">
      <c r="A14" t="str">
        <f t="shared" si="0"/>
        <v>Moderado-DESENVOLVIMENTO</v>
      </c>
      <c r="B14" t="s">
        <v>19</v>
      </c>
      <c r="C14" s="1" t="s">
        <v>27</v>
      </c>
      <c r="D14" s="48">
        <v>0.1</v>
      </c>
    </row>
    <row r="15" spans="1:8" x14ac:dyDescent="0.25">
      <c r="A15" s="3" t="str">
        <f t="shared" si="0"/>
        <v>Moderado-HOTELARIAS</v>
      </c>
      <c r="B15" s="3" t="s">
        <v>19</v>
      </c>
      <c r="C15" s="54" t="s">
        <v>28</v>
      </c>
      <c r="D15" s="55">
        <v>0.1</v>
      </c>
    </row>
    <row r="16" spans="1:8" x14ac:dyDescent="0.25">
      <c r="A16" s="2"/>
      <c r="B16" s="2"/>
      <c r="C16" s="56"/>
      <c r="D16" s="56"/>
    </row>
    <row r="17" spans="1:4" x14ac:dyDescent="0.25">
      <c r="A17" t="str">
        <f t="shared" si="0"/>
        <v>Agressivo-PAPEL</v>
      </c>
      <c r="B17" t="s">
        <v>29</v>
      </c>
      <c r="C17" s="1" t="s">
        <v>23</v>
      </c>
      <c r="D17" s="48">
        <v>0.5</v>
      </c>
    </row>
    <row r="18" spans="1:4" x14ac:dyDescent="0.25">
      <c r="A18" t="str">
        <f t="shared" si="0"/>
        <v>Agressivo-TIJOLO</v>
      </c>
      <c r="B18" t="s">
        <v>29</v>
      </c>
      <c r="C18" s="1" t="s">
        <v>24</v>
      </c>
      <c r="D18" s="48">
        <v>0.1</v>
      </c>
    </row>
    <row r="19" spans="1:4" x14ac:dyDescent="0.25">
      <c r="A19" t="str">
        <f t="shared" si="0"/>
        <v>Agressivo-HÍBRIDOS</v>
      </c>
      <c r="B19" t="s">
        <v>29</v>
      </c>
      <c r="C19" s="1" t="s">
        <v>25</v>
      </c>
      <c r="D19" s="48">
        <v>0.05</v>
      </c>
    </row>
    <row r="20" spans="1:4" x14ac:dyDescent="0.25">
      <c r="A20" t="str">
        <f t="shared" si="0"/>
        <v>Agressivo-FOFs</v>
      </c>
      <c r="B20" t="s">
        <v>29</v>
      </c>
      <c r="C20" s="1" t="s">
        <v>26</v>
      </c>
      <c r="D20" s="48">
        <v>0.05</v>
      </c>
    </row>
    <row r="21" spans="1:4" x14ac:dyDescent="0.25">
      <c r="A21" t="str">
        <f t="shared" si="0"/>
        <v>Agressivo-DESENVOLVIMENTO</v>
      </c>
      <c r="B21" t="s">
        <v>29</v>
      </c>
      <c r="C21" s="1" t="s">
        <v>27</v>
      </c>
      <c r="D21" s="48">
        <v>0.2</v>
      </c>
    </row>
    <row r="22" spans="1:4" x14ac:dyDescent="0.25">
      <c r="A22" t="str">
        <f t="shared" si="0"/>
        <v>Agressivo-HOTELARIAS</v>
      </c>
      <c r="B22" t="s">
        <v>29</v>
      </c>
      <c r="C22" s="1" t="s">
        <v>28</v>
      </c>
      <c r="D22" s="4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qnt_anos</vt:lpstr>
      <vt:lpstr>rendimento_carteira</vt:lpstr>
      <vt:lpstr>salario</vt:lpstr>
      <vt:lpstr>sug_investimento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Gaspar</dc:creator>
  <cp:lastModifiedBy>Aura Gaspar</cp:lastModifiedBy>
  <dcterms:created xsi:type="dcterms:W3CDTF">2026-09-02T18:03:33Z</dcterms:created>
  <dcterms:modified xsi:type="dcterms:W3CDTF">2026-09-02T21:31:55Z</dcterms:modified>
</cp:coreProperties>
</file>